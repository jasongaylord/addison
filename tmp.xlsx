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Projects\addi\addison\"/>
    </mc:Choice>
  </mc:AlternateContent>
  <xr:revisionPtr revIDLastSave="0" documentId="8_{8893FD61-09AD-4E40-B3E7-1EDCCCBA2172}" xr6:coauthVersionLast="47" xr6:coauthVersionMax="47" xr10:uidLastSave="{00000000-0000-0000-0000-000000000000}"/>
  <bookViews>
    <workbookView xWindow="35880" yWindow="-120" windowWidth="38640" windowHeight="21120" xr2:uid="{FD07E6CE-F7F7-4C2B-AA39-13E8D2D2F2B9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B14" i="1"/>
  <c r="A14" i="1"/>
  <c r="M13" i="1"/>
  <c r="B13" i="1"/>
  <c r="A13" i="1"/>
  <c r="M12" i="1"/>
  <c r="B12" i="1"/>
  <c r="A12" i="1"/>
  <c r="M11" i="1"/>
  <c r="B11" i="1"/>
  <c r="A11" i="1"/>
  <c r="M10" i="1"/>
  <c r="B10" i="1"/>
  <c r="A10" i="1"/>
  <c r="M9" i="1"/>
  <c r="B9" i="1"/>
  <c r="A9" i="1"/>
  <c r="M8" i="1"/>
  <c r="B8" i="1"/>
  <c r="A8" i="1"/>
  <c r="M7" i="1"/>
  <c r="B7" i="1"/>
  <c r="A7" i="1"/>
  <c r="M6" i="1"/>
  <c r="B6" i="1"/>
  <c r="A6" i="1"/>
  <c r="M5" i="1"/>
  <c r="B5" i="1"/>
  <c r="A5" i="1"/>
  <c r="M4" i="1"/>
  <c r="B4" i="1"/>
  <c r="A4" i="1"/>
  <c r="M3" i="1"/>
  <c r="B3" i="1"/>
  <c r="A3" i="1"/>
  <c r="M2" i="1"/>
  <c r="B2" i="1"/>
  <c r="A2" i="1"/>
</calcChain>
</file>

<file path=xl/sharedStrings.xml><?xml version="1.0" encoding="utf-8"?>
<sst xmlns="http://schemas.openxmlformats.org/spreadsheetml/2006/main" count="26" uniqueCount="24">
  <si>
    <t>Date</t>
  </si>
  <si>
    <t>Opponent</t>
  </si>
  <si>
    <t>AB</t>
  </si>
  <si>
    <t>R</t>
  </si>
  <si>
    <t>H</t>
  </si>
  <si>
    <t>RBI</t>
  </si>
  <si>
    <t>BB</t>
  </si>
  <si>
    <t>SO</t>
  </si>
  <si>
    <t>2B</t>
  </si>
  <si>
    <t>3B</t>
  </si>
  <si>
    <t>HR</t>
  </si>
  <si>
    <t>GS</t>
  </si>
  <si>
    <t>TB</t>
  </si>
  <si>
    <t>SB</t>
  </si>
  <si>
    <t>CS</t>
  </si>
  <si>
    <t>HBP</t>
  </si>
  <si>
    <t>E</t>
  </si>
  <si>
    <t>A</t>
  </si>
  <si>
    <t>PO</t>
  </si>
  <si>
    <t>DP</t>
  </si>
  <si>
    <t>TP</t>
  </si>
  <si>
    <t>INN</t>
  </si>
  <si>
    <t>PB</t>
  </si>
  <si>
    <t>PIK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</si>
</sst>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veryourbusinessnew-my.sharepoint.com/personal/jason_gaylord_biberk_com/Documents/Book.xlsx" TargetMode="External"/><Relationship Id="rId1" Type="http://schemas.openxmlformats.org/officeDocument/2006/relationships/externalLinkPath" Target="https://coveryourbusinessnew-my.sharepoint.com/personal/jason_gaylord_biberk_com/Documents/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am Leaders"/>
      <sheetName val="Player Stats"/>
      <sheetName val="Game Stats"/>
      <sheetName val="00"/>
      <sheetName val="2"/>
      <sheetName val="3"/>
      <sheetName val="11"/>
      <sheetName val="11r"/>
      <sheetName val="12"/>
      <sheetName val="13"/>
      <sheetName val="14"/>
      <sheetName val="18"/>
      <sheetName val="22"/>
      <sheetName val="23"/>
      <sheetName val="26"/>
      <sheetName val="26c"/>
      <sheetName val="26s"/>
      <sheetName val="27"/>
      <sheetName val="27b"/>
      <sheetName val="28"/>
      <sheetName val="30"/>
      <sheetName val="32"/>
      <sheetName val="33"/>
      <sheetName val="54"/>
      <sheetName val="88"/>
      <sheetName val="99"/>
    </sheetNames>
    <sheetDataSet>
      <sheetData sheetId="0"/>
      <sheetData sheetId="1"/>
      <sheetData sheetId="2">
        <row r="9">
          <cell r="A9">
            <v>45816.541666666664</v>
          </cell>
          <cell r="B9" t="str">
            <v>PA Bombers Gold 18U</v>
          </cell>
        </row>
        <row r="10">
          <cell r="A10">
            <v>45827.625</v>
          </cell>
          <cell r="B10" t="str">
            <v>Mavericks Fastpitch 18U</v>
          </cell>
        </row>
        <row r="11">
          <cell r="A11">
            <v>45827.697916666664</v>
          </cell>
          <cell r="B11" t="str">
            <v>Mystics Fastpitch 18U Showcase Sagar</v>
          </cell>
        </row>
        <row r="12">
          <cell r="A12">
            <v>45828.59375</v>
          </cell>
          <cell r="B12" t="str">
            <v>Rock Gold Dean</v>
          </cell>
        </row>
        <row r="13">
          <cell r="A13">
            <v>45828.625</v>
          </cell>
          <cell r="B13" t="str">
            <v>Krunch</v>
          </cell>
        </row>
        <row r="14">
          <cell r="A14">
            <v>45828.697916666664</v>
          </cell>
          <cell r="B14" t="str">
            <v>SJ Heat Gold</v>
          </cell>
        </row>
        <row r="15">
          <cell r="A15">
            <v>45836.541666666664</v>
          </cell>
          <cell r="B15" t="str">
            <v>Worth Prospects 18U</v>
          </cell>
        </row>
        <row r="16">
          <cell r="A16">
            <v>45837.489583333336</v>
          </cell>
          <cell r="B16" t="str">
            <v>PA Krunch Premier 18u</v>
          </cell>
        </row>
        <row r="17">
          <cell r="A17">
            <v>45850.333333333336</v>
          </cell>
          <cell r="B17" t="str">
            <v>PA Stars</v>
          </cell>
        </row>
        <row r="18">
          <cell r="A18">
            <v>45850.40625</v>
          </cell>
          <cell r="B18" t="str">
            <v>Jersey Outlaws 18U Wells</v>
          </cell>
        </row>
        <row r="19">
          <cell r="A19">
            <v>45850.541666666664</v>
          </cell>
          <cell r="B19" t="str">
            <v>Rock Gold Theis</v>
          </cell>
        </row>
        <row r="20">
          <cell r="A20">
            <v>45851.40625</v>
          </cell>
          <cell r="B20" t="str">
            <v>Rock Gold Waye - Mahony 18U</v>
          </cell>
        </row>
        <row r="21">
          <cell r="A21">
            <v>45851.479166666664</v>
          </cell>
          <cell r="B21" t="str">
            <v>Top Gun Gold 18U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23CE-FBA1-4A38-80BD-4C5C5F3816E9}">
  <dimension ref="A1:Z14"/>
  <sheetViews>
    <sheetView tabSelected="1" workbookViewId="0">
      <selection activeCell="V12" sqref="V12"/>
    </sheetView>
  </sheetViews>
  <sheetFormatPr defaultRowHeight="14.5" x14ac:dyDescent="0.35"/>
  <cols>
    <col min="1" max="1" width="15" bestFit="1" customWidth="1"/>
    <col min="2" max="2" width="33.81640625" bestFit="1" customWidth="1"/>
  </cols>
  <sheetData>
    <row r="1" spans="1: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16</v>
      </c>
      <c r="V1" s="3" t="s">
        <v>21</v>
      </c>
      <c r="W1" s="3" t="s">
        <v>22</v>
      </c>
      <c r="X1" s="3" t="s">
        <v>13</v>
      </c>
      <c r="Y1" s="3" t="s">
        <v>14</v>
      </c>
      <c r="Z1" s="3" t="s">
        <v>23</v>
      </c>
    </row>
    <row r="2" spans="1:26" x14ac:dyDescent="0.35">
      <c r="A2" s="4">
        <f>'[1]Game Stats'!A9</f>
        <v>45816.541666666664</v>
      </c>
      <c r="B2" t="str">
        <f>'[1]Game Stats'!B9</f>
        <v>PA Bombers Gold 18U</v>
      </c>
      <c r="C2" s="5">
        <v>2</v>
      </c>
      <c r="D2" s="5">
        <v>2</v>
      </c>
      <c r="E2" s="5">
        <v>0</v>
      </c>
      <c r="F2" s="5">
        <v>0</v>
      </c>
      <c r="G2" s="5">
        <v>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f t="shared" ref="M2:M14" si="0">(K2*4)+(J2*3)+(I2*2)+(E2-K2-J2-I2)</f>
        <v>0</v>
      </c>
      <c r="N2" s="5">
        <v>0</v>
      </c>
      <c r="O2" s="5">
        <v>0</v>
      </c>
      <c r="P2" s="5">
        <v>0</v>
      </c>
      <c r="Q2" s="5">
        <v>2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</row>
    <row r="3" spans="1:26" x14ac:dyDescent="0.35">
      <c r="A3" s="4">
        <f>'[1]Game Stats'!A10</f>
        <v>45827.625</v>
      </c>
      <c r="B3" t="str">
        <f>'[1]Game Stats'!B10</f>
        <v>Mavericks Fastpitch 18U</v>
      </c>
      <c r="C3" s="5">
        <v>2</v>
      </c>
      <c r="D3" s="5">
        <v>1</v>
      </c>
      <c r="E3" s="5">
        <v>0</v>
      </c>
      <c r="F3" s="5">
        <v>0</v>
      </c>
      <c r="G3" s="5">
        <v>1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f t="shared" si="0"/>
        <v>0</v>
      </c>
      <c r="N3" s="5">
        <v>1</v>
      </c>
      <c r="O3" s="5">
        <v>0</v>
      </c>
      <c r="P3" s="5">
        <v>0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0</v>
      </c>
      <c r="W3" s="5">
        <v>0</v>
      </c>
      <c r="X3" s="5">
        <v>0</v>
      </c>
      <c r="Y3" s="5">
        <v>0</v>
      </c>
      <c r="Z3" s="5">
        <v>0</v>
      </c>
    </row>
    <row r="4" spans="1:26" x14ac:dyDescent="0.35">
      <c r="A4" s="4">
        <f>'[1]Game Stats'!A11</f>
        <v>45827.697916666664</v>
      </c>
      <c r="B4" t="str">
        <f>'[1]Game Stats'!B11</f>
        <v>Mystics Fastpitch 18U Showcase Sagar</v>
      </c>
      <c r="C4" s="5">
        <v>3</v>
      </c>
      <c r="D4" s="5">
        <v>1</v>
      </c>
      <c r="E4" s="5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f t="shared" si="0"/>
        <v>1</v>
      </c>
      <c r="N4" s="5">
        <v>0</v>
      </c>
      <c r="O4" s="5">
        <v>0</v>
      </c>
      <c r="P4" s="5">
        <v>0</v>
      </c>
      <c r="Q4" s="5">
        <v>2</v>
      </c>
      <c r="R4" s="5">
        <v>2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</row>
    <row r="5" spans="1:26" x14ac:dyDescent="0.35">
      <c r="A5" s="4">
        <f>'[1]Game Stats'!A12</f>
        <v>45828.59375</v>
      </c>
      <c r="B5" t="str">
        <f>'[1]Game Stats'!B12</f>
        <v>Rock Gold Dean</v>
      </c>
      <c r="C5" s="5">
        <v>2</v>
      </c>
      <c r="D5" s="5">
        <v>0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f t="shared" si="0"/>
        <v>0</v>
      </c>
      <c r="N5" s="5">
        <v>0</v>
      </c>
      <c r="O5" s="5">
        <v>0</v>
      </c>
      <c r="P5" s="5">
        <v>0</v>
      </c>
      <c r="Q5" s="5">
        <v>1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</row>
    <row r="6" spans="1:26" x14ac:dyDescent="0.35">
      <c r="A6" s="4">
        <f>'[1]Game Stats'!A13</f>
        <v>45828.625</v>
      </c>
      <c r="B6" t="str">
        <f>'[1]Game Stats'!B13</f>
        <v>Krunch</v>
      </c>
      <c r="C6" s="5">
        <v>3</v>
      </c>
      <c r="D6" s="5">
        <v>1</v>
      </c>
      <c r="E6" s="5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f t="shared" si="0"/>
        <v>1</v>
      </c>
      <c r="N6" s="5">
        <v>1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</row>
    <row r="7" spans="1:26" x14ac:dyDescent="0.35">
      <c r="A7" s="4">
        <f>'[1]Game Stats'!A14</f>
        <v>45828.697916666664</v>
      </c>
      <c r="B7" t="str">
        <f>'[1]Game Stats'!B14</f>
        <v>SJ Heat Gold</v>
      </c>
      <c r="C7" s="5">
        <v>3</v>
      </c>
      <c r="D7" s="5">
        <v>2</v>
      </c>
      <c r="E7" s="5">
        <v>0</v>
      </c>
      <c r="F7" s="5">
        <v>0</v>
      </c>
      <c r="G7" s="5">
        <v>0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f t="shared" si="0"/>
        <v>0</v>
      </c>
      <c r="N7" s="5">
        <v>3</v>
      </c>
      <c r="O7" s="5">
        <v>0</v>
      </c>
      <c r="P7" s="5">
        <v>0</v>
      </c>
      <c r="Q7" s="5">
        <v>3</v>
      </c>
      <c r="R7" s="5">
        <v>1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spans="1:26" x14ac:dyDescent="0.35">
      <c r="A8" s="4">
        <f>'[1]Game Stats'!A15</f>
        <v>45836.541666666664</v>
      </c>
      <c r="B8" t="str">
        <f>'[1]Game Stats'!B15</f>
        <v>Worth Prospects 18U</v>
      </c>
      <c r="C8" s="5">
        <v>1</v>
      </c>
      <c r="D8" s="5">
        <v>0</v>
      </c>
      <c r="E8" s="5">
        <v>0</v>
      </c>
      <c r="F8" s="5">
        <v>0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0</v>
      </c>
      <c r="M8" s="5">
        <f t="shared" si="0"/>
        <v>1</v>
      </c>
      <c r="N8" s="5">
        <v>0</v>
      </c>
      <c r="O8" s="5">
        <v>1</v>
      </c>
      <c r="P8" s="5">
        <v>0</v>
      </c>
      <c r="Q8" s="5">
        <v>1</v>
      </c>
      <c r="R8" s="5">
        <v>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</row>
    <row r="9" spans="1:26" x14ac:dyDescent="0.35">
      <c r="A9" s="4">
        <f>'[1]Game Stats'!A16</f>
        <v>45837.489583333336</v>
      </c>
      <c r="B9" t="str">
        <f>'[1]Game Stats'!B16</f>
        <v>PA Krunch Premier 18u</v>
      </c>
      <c r="C9" s="5">
        <v>3</v>
      </c>
      <c r="D9" s="5">
        <v>0</v>
      </c>
      <c r="E9" s="5">
        <v>0</v>
      </c>
      <c r="F9" s="5">
        <v>0</v>
      </c>
      <c r="G9" s="5">
        <v>0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f t="shared" si="0"/>
        <v>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</row>
    <row r="10" spans="1:26" x14ac:dyDescent="0.35">
      <c r="A10" s="4">
        <f>'[1]Game Stats'!A17</f>
        <v>45850.333333333336</v>
      </c>
      <c r="B10" t="str">
        <f>'[1]Game Stats'!B17</f>
        <v>PA Stars</v>
      </c>
      <c r="C10" s="5">
        <v>2</v>
      </c>
      <c r="D10" s="5">
        <v>1</v>
      </c>
      <c r="E10" s="5">
        <v>1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f t="shared" si="0"/>
        <v>1</v>
      </c>
      <c r="N10" s="5">
        <v>0</v>
      </c>
      <c r="O10" s="5">
        <v>1</v>
      </c>
      <c r="P10" s="5">
        <v>0</v>
      </c>
      <c r="Q10" s="5">
        <v>1</v>
      </c>
      <c r="R10" s="5">
        <v>1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</row>
    <row r="11" spans="1:26" x14ac:dyDescent="0.35">
      <c r="A11" s="4">
        <f>'[1]Game Stats'!A18</f>
        <v>45850.40625</v>
      </c>
      <c r="B11" t="str">
        <f>'[1]Game Stats'!B18</f>
        <v>Jersey Outlaws 18U Wells</v>
      </c>
      <c r="C11" s="5">
        <v>3</v>
      </c>
      <c r="D11" s="5">
        <v>1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f t="shared" si="0"/>
        <v>1</v>
      </c>
      <c r="N11" s="5">
        <v>0</v>
      </c>
      <c r="O11" s="5">
        <v>0</v>
      </c>
      <c r="P11" s="5">
        <v>0</v>
      </c>
      <c r="Q11" s="5">
        <v>1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</row>
    <row r="12" spans="1:26" x14ac:dyDescent="0.35">
      <c r="A12" s="4">
        <f>'[1]Game Stats'!A19</f>
        <v>45850.541666666664</v>
      </c>
      <c r="B12" t="str">
        <f>'[1]Game Stats'!B19</f>
        <v>Rock Gold Theis</v>
      </c>
      <c r="C12" s="5">
        <v>2</v>
      </c>
      <c r="D12" s="5">
        <v>1</v>
      </c>
      <c r="E12" s="5">
        <v>1</v>
      </c>
      <c r="F12" s="5">
        <v>1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f t="shared" si="0"/>
        <v>1</v>
      </c>
      <c r="N12" s="5">
        <v>1</v>
      </c>
      <c r="O12" s="5">
        <v>1</v>
      </c>
      <c r="P12" s="5">
        <v>0</v>
      </c>
      <c r="Q12" s="5">
        <v>0</v>
      </c>
      <c r="R12" s="5">
        <v>4</v>
      </c>
      <c r="S12" s="5">
        <v>0</v>
      </c>
      <c r="T12" s="5">
        <v>0</v>
      </c>
      <c r="U12" s="5">
        <v>0</v>
      </c>
      <c r="V12" s="5">
        <v>3</v>
      </c>
      <c r="W12" s="5">
        <v>0</v>
      </c>
      <c r="X12" s="5">
        <v>0</v>
      </c>
      <c r="Y12" s="5">
        <v>0</v>
      </c>
      <c r="Z12" s="5">
        <v>0</v>
      </c>
    </row>
    <row r="13" spans="1:26" x14ac:dyDescent="0.35">
      <c r="A13" s="4">
        <f>'[1]Game Stats'!A20</f>
        <v>45851.40625</v>
      </c>
      <c r="B13" t="str">
        <f>'[1]Game Stats'!B20</f>
        <v>Rock Gold Waye - Mahony 18U</v>
      </c>
      <c r="C13" s="5">
        <v>3</v>
      </c>
      <c r="D13" s="5">
        <v>4</v>
      </c>
      <c r="E13" s="5">
        <v>2</v>
      </c>
      <c r="F13" s="5">
        <v>2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5">
        <v>0</v>
      </c>
      <c r="M13" s="5">
        <f t="shared" si="0"/>
        <v>3</v>
      </c>
      <c r="N13" s="5">
        <v>2</v>
      </c>
      <c r="O13" s="5">
        <v>0</v>
      </c>
      <c r="P13" s="5">
        <v>0</v>
      </c>
      <c r="Q13" s="5">
        <v>5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</row>
    <row r="14" spans="1:26" x14ac:dyDescent="0.35">
      <c r="A14" s="4">
        <f>'[1]Game Stats'!A21</f>
        <v>45851.479166666664</v>
      </c>
      <c r="B14" t="str">
        <f>'[1]Game Stats'!B21</f>
        <v>Top Gun Gold 18U</v>
      </c>
      <c r="C14" s="5">
        <v>3</v>
      </c>
      <c r="D14" s="5">
        <v>0</v>
      </c>
      <c r="E14" s="5">
        <v>1</v>
      </c>
      <c r="F14" s="5">
        <v>0</v>
      </c>
      <c r="G14" s="5">
        <v>1</v>
      </c>
      <c r="H14" s="5">
        <v>1</v>
      </c>
      <c r="I14" s="5">
        <v>0</v>
      </c>
      <c r="J14" s="5">
        <v>0</v>
      </c>
      <c r="K14" s="5">
        <v>0</v>
      </c>
      <c r="L14" s="5">
        <v>0</v>
      </c>
      <c r="M14" s="5">
        <f t="shared" si="0"/>
        <v>1</v>
      </c>
      <c r="N14" s="5">
        <v>0</v>
      </c>
      <c r="O14" s="5">
        <v>1</v>
      </c>
      <c r="P14" s="5">
        <v>0</v>
      </c>
      <c r="Q14" s="5">
        <v>3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Gaylord</dc:creator>
  <cp:lastModifiedBy>Jason Gaylord</cp:lastModifiedBy>
  <dcterms:created xsi:type="dcterms:W3CDTF">2025-07-17T04:11:37Z</dcterms:created>
  <dcterms:modified xsi:type="dcterms:W3CDTF">2025-07-17T04:17:19Z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335131-e870-4d0a-bc8d-136e709b453c_Enabled">
    <vt:lpwstr>true</vt:lpwstr>
  </property>
  <property fmtid="{D5CDD505-2E9C-101B-9397-08002B2CF9AE}" pid="3" name="MSIP_Label_0e335131-e870-4d0a-bc8d-136e709b453c_SetDate">
    <vt:lpwstr>2025-07-17T04:16:48Z</vt:lpwstr>
  </property>
  <property fmtid="{D5CDD505-2E9C-101B-9397-08002B2CF9AE}" pid="4" name="MSIP_Label_0e335131-e870-4d0a-bc8d-136e709b453c_Method">
    <vt:lpwstr>Standard</vt:lpwstr>
  </property>
  <property fmtid="{D5CDD505-2E9C-101B-9397-08002B2CF9AE}" pid="5" name="MSIP_Label_0e335131-e870-4d0a-bc8d-136e709b453c_Name">
    <vt:lpwstr>defa4170-0d19-0005-0003-bc88714345d2</vt:lpwstr>
  </property>
  <property fmtid="{D5CDD505-2E9C-101B-9397-08002B2CF9AE}" pid="6" name="MSIP_Label_0e335131-e870-4d0a-bc8d-136e709b453c_SiteId">
    <vt:lpwstr>d21ebc54-94dd-4169-ba8c-b68177a7918b</vt:lpwstr>
  </property>
  <property fmtid="{D5CDD505-2E9C-101B-9397-08002B2CF9AE}" pid="7" name="MSIP_Label_0e335131-e870-4d0a-bc8d-136e709b453c_ActionId">
    <vt:lpwstr>28c3ff16-26ab-49e2-b9a2-2eecfe715e1a</vt:lpwstr>
  </property>
  <property fmtid="{D5CDD505-2E9C-101B-9397-08002B2CF9AE}" pid="8" name="MSIP_Label_0e335131-e870-4d0a-bc8d-136e709b453c_ContentBits">
    <vt:lpwstr>0</vt:lpwstr>
  </property>
  <property fmtid="{D5CDD505-2E9C-101B-9397-08002B2CF9AE}" pid="9" name="MSIP_Label_0e335131-e870-4d0a-bc8d-136e709b453c_Tag">
    <vt:lpwstr>10, 3, 0, 1</vt:lpwstr>
  </property>
</Properties>
</file>